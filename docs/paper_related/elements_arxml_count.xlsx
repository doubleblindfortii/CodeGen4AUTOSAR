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9240\Desktop\tii\CodeGen4AUTOSAR-main\docs\paper_related\"/>
    </mc:Choice>
  </mc:AlternateContent>
  <xr:revisionPtr revIDLastSave="0" documentId="13_ncr:1_{88C94C6E-3354-4E9F-82EF-D231ED105D8D}" xr6:coauthVersionLast="47" xr6:coauthVersionMax="47" xr10:uidLastSave="{00000000-0000-0000-0000-000000000000}"/>
  <bookViews>
    <workbookView xWindow="-98" yWindow="-98" windowWidth="23596" windowHeight="15076" firstSheet="5" activeTab="7" xr2:uid="{00000000-000D-0000-FFFF-FFFF00000000}"/>
  </bookViews>
  <sheets>
    <sheet name="autosar_swc" sheetId="1" r:id="rId1"/>
    <sheet name="autosar_swc_expfcns" sheetId="2" r:id="rId2"/>
    <sheet name="autosar_swc_throttle_sensor" sheetId="3" r:id="rId3"/>
    <sheet name="autosar_swc_monitor" sheetId="4" r:id="rId4"/>
    <sheet name="autosar_swc_pedal_sensor" sheetId="5" r:id="rId5"/>
    <sheet name="autosar_swc_controller" sheetId="6" r:id="rId6"/>
    <sheet name="autosar_swc_actuator" sheetId="7" r:id="rId7"/>
    <sheet name="large_scale_autosar_swc_expfc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8" l="1"/>
  <c r="C16" i="8"/>
  <c r="F16" i="7"/>
  <c r="F16" i="6"/>
  <c r="F16" i="5"/>
  <c r="F16" i="4"/>
  <c r="F16" i="3"/>
  <c r="F16" i="2"/>
  <c r="F16" i="1"/>
  <c r="E16" i="7"/>
  <c r="D16" i="7"/>
  <c r="C16" i="7"/>
  <c r="B16" i="7"/>
  <c r="B16" i="6"/>
  <c r="C16" i="6"/>
  <c r="D16" i="6"/>
  <c r="E16" i="6"/>
  <c r="E16" i="5"/>
  <c r="C16" i="5"/>
  <c r="E16" i="4"/>
  <c r="C16" i="4"/>
  <c r="E16" i="3"/>
  <c r="C16" i="3"/>
  <c r="E16" i="2"/>
  <c r="C16" i="2"/>
  <c r="E16" i="1"/>
  <c r="C16" i="1"/>
  <c r="F16" i="8" l="1"/>
</calcChain>
</file>

<file path=xl/sharedStrings.xml><?xml version="1.0" encoding="utf-8"?>
<sst xmlns="http://schemas.openxmlformats.org/spreadsheetml/2006/main" count="355" uniqueCount="45">
  <si>
    <t>APPLICATION-SW-COMPONENT-TYPE</t>
    <phoneticPr fontId="1" type="noConversion"/>
  </si>
  <si>
    <t>PORTS</t>
    <phoneticPr fontId="1" type="noConversion"/>
  </si>
  <si>
    <t>ARXML类别</t>
    <phoneticPr fontId="1" type="noConversion"/>
  </si>
  <si>
    <t>R-PORT-PROTOTYPE</t>
    <phoneticPr fontId="1" type="noConversion"/>
  </si>
  <si>
    <t xml:space="preserve">P-PORT-PROTOTYPE </t>
    <phoneticPr fontId="1" type="noConversion"/>
  </si>
  <si>
    <t>SWC-INTERNAL-BEHAVIOR</t>
  </si>
  <si>
    <t>TIMING-EVENT</t>
  </si>
  <si>
    <t>IRV</t>
  </si>
  <si>
    <t>IRV</t>
    <phoneticPr fontId="1" type="noConversion"/>
  </si>
  <si>
    <t>RUNNABLE-ENTITY</t>
  </si>
  <si>
    <t>DATA-TYPE</t>
  </si>
  <si>
    <t>IMPLEMENTATION-DATA-TYPE</t>
    <phoneticPr fontId="1" type="noConversion"/>
  </si>
  <si>
    <t>SW-BASE-TYPE</t>
    <phoneticPr fontId="1" type="noConversion"/>
  </si>
  <si>
    <t>SW-ADDR-METHOD</t>
  </si>
  <si>
    <t>DATA-ELEMENTS</t>
  </si>
  <si>
    <t xml:space="preserve">VARIABLE-DATA-PROTOTYPE </t>
  </si>
  <si>
    <t>总计</t>
    <phoneticPr fontId="1" type="noConversion"/>
  </si>
  <si>
    <t>SWC-TIMING</t>
    <phoneticPr fontId="1" type="noConversion"/>
  </si>
  <si>
    <t>SwcComponent</t>
    <phoneticPr fontId="1" type="noConversion"/>
  </si>
  <si>
    <t xml:space="preserve">ReceiverPort-Prototype </t>
    <phoneticPr fontId="1" type="noConversion"/>
  </si>
  <si>
    <t>SenderPort-Prototype</t>
    <phoneticPr fontId="1" type="noConversion"/>
  </si>
  <si>
    <t>NULL</t>
    <phoneticPr fontId="1" type="noConversion"/>
  </si>
  <si>
    <t>Runnable-Entity</t>
    <phoneticPr fontId="1" type="noConversion"/>
  </si>
  <si>
    <t>Variable-Access</t>
    <phoneticPr fontId="1" type="noConversion"/>
  </si>
  <si>
    <t>SwAddrMethod-Prototype</t>
    <phoneticPr fontId="1" type="noConversion"/>
  </si>
  <si>
    <t>SWC-IMPLEMENTATION</t>
    <phoneticPr fontId="1" type="noConversion"/>
  </si>
  <si>
    <t>SENDER-RECEIVER-INTERFACE</t>
    <phoneticPr fontId="1" type="noConversion"/>
  </si>
  <si>
    <t>Sender-Receiver-Interface</t>
    <phoneticPr fontId="1" type="noConversion"/>
  </si>
  <si>
    <t>Data-Elements</t>
    <phoneticPr fontId="1" type="noConversion"/>
  </si>
  <si>
    <t>TIMING-EVENT</t>
    <phoneticPr fontId="1" type="noConversion"/>
  </si>
  <si>
    <t>VARIABLE-ACCESS</t>
    <phoneticPr fontId="1" type="noConversion"/>
  </si>
  <si>
    <t>SW-ADDR-METHOD</t>
    <phoneticPr fontId="1" type="noConversion"/>
  </si>
  <si>
    <t>DATA-ELEMENTS</t>
    <phoneticPr fontId="1" type="noConversion"/>
  </si>
  <si>
    <t>Event-Prototype</t>
    <phoneticPr fontId="1" type="noConversion"/>
  </si>
  <si>
    <t xml:space="preserve">VARIABLE-DATA-PROTOTYPE </t>
    <phoneticPr fontId="1" type="noConversion"/>
  </si>
  <si>
    <t>RUNNABLE-ENTITY</t>
    <phoneticPr fontId="1" type="noConversion"/>
  </si>
  <si>
    <t>DATA-ACCESS</t>
    <phoneticPr fontId="1" type="noConversion"/>
  </si>
  <si>
    <t>行数</t>
    <phoneticPr fontId="1" type="noConversion"/>
  </si>
  <si>
    <t>ARXML Item</t>
    <phoneticPr fontId="1" type="noConversion"/>
  </si>
  <si>
    <t>Detail Elements Type</t>
    <phoneticPr fontId="1" type="noConversion"/>
  </si>
  <si>
    <t>Count</t>
    <phoneticPr fontId="1" type="noConversion"/>
  </si>
  <si>
    <t>Elements in Our custom XML</t>
    <phoneticPr fontId="1" type="noConversion"/>
  </si>
  <si>
    <t>MIC</t>
    <phoneticPr fontId="1" type="noConversion"/>
  </si>
  <si>
    <t>Element Counts in Total</t>
    <phoneticPr fontId="1" type="noConversion"/>
  </si>
  <si>
    <t>Line Counts in 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</si>
</sst>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16" sqref="A16:A17"/>
    </sheetView>
  </sheetViews>
  <sheetFormatPr defaultRowHeight="13.9" x14ac:dyDescent="0.4"/>
  <cols>
    <col min="1" max="1" width="35.59765625" customWidth="1"/>
    <col min="2" max="2" width="23.9296875" customWidth="1"/>
    <col min="4" max="4" width="30.33203125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x14ac:dyDescent="0.4">
      <c r="A2" s="1" t="s">
        <v>0</v>
      </c>
      <c r="B2" t="s">
        <v>21</v>
      </c>
      <c r="C2">
        <v>1</v>
      </c>
      <c r="D2" t="s">
        <v>18</v>
      </c>
      <c r="E2">
        <v>1</v>
      </c>
    </row>
    <row r="3" spans="1:6" x14ac:dyDescent="0.4">
      <c r="A3" s="3" t="s">
        <v>1</v>
      </c>
      <c r="B3" t="s">
        <v>3</v>
      </c>
      <c r="C3">
        <v>2</v>
      </c>
      <c r="D3" t="s">
        <v>19</v>
      </c>
      <c r="E3">
        <v>2</v>
      </c>
    </row>
    <row r="4" spans="1:6" x14ac:dyDescent="0.4">
      <c r="A4" s="3"/>
      <c r="B4" t="s">
        <v>4</v>
      </c>
      <c r="C4">
        <v>2</v>
      </c>
      <c r="D4" t="s">
        <v>20</v>
      </c>
      <c r="E4">
        <v>2</v>
      </c>
    </row>
    <row r="5" spans="1:6" x14ac:dyDescent="0.4">
      <c r="A5" s="3" t="s">
        <v>5</v>
      </c>
      <c r="B5" t="s">
        <v>6</v>
      </c>
      <c r="C5">
        <v>2</v>
      </c>
      <c r="D5" t="s">
        <v>33</v>
      </c>
      <c r="E5">
        <v>2</v>
      </c>
    </row>
    <row r="6" spans="1:6" x14ac:dyDescent="0.4">
      <c r="A6" s="3"/>
      <c r="B6" t="s">
        <v>8</v>
      </c>
      <c r="C6">
        <v>1</v>
      </c>
      <c r="D6" t="s">
        <v>7</v>
      </c>
      <c r="E6">
        <v>1</v>
      </c>
    </row>
    <row r="7" spans="1:6" x14ac:dyDescent="0.4">
      <c r="A7" s="3"/>
      <c r="B7" t="s">
        <v>9</v>
      </c>
      <c r="C7">
        <v>3</v>
      </c>
      <c r="D7" t="s">
        <v>22</v>
      </c>
      <c r="E7">
        <v>3</v>
      </c>
    </row>
    <row r="8" spans="1:6" x14ac:dyDescent="0.4">
      <c r="A8" s="3"/>
      <c r="B8" t="s">
        <v>36</v>
      </c>
      <c r="C8">
        <v>6</v>
      </c>
      <c r="D8" t="s">
        <v>23</v>
      </c>
      <c r="E8">
        <v>6</v>
      </c>
    </row>
    <row r="9" spans="1:6" x14ac:dyDescent="0.4">
      <c r="A9" s="4" t="s">
        <v>10</v>
      </c>
      <c r="B9" t="s">
        <v>11</v>
      </c>
      <c r="C9">
        <v>1</v>
      </c>
      <c r="D9" t="s">
        <v>11</v>
      </c>
      <c r="E9">
        <v>1</v>
      </c>
    </row>
    <row r="10" spans="1:6" x14ac:dyDescent="0.4">
      <c r="A10" s="4"/>
      <c r="B10" t="s">
        <v>12</v>
      </c>
      <c r="C10">
        <v>1</v>
      </c>
      <c r="D10" t="s">
        <v>12</v>
      </c>
      <c r="E10">
        <v>1</v>
      </c>
    </row>
    <row r="11" spans="1:6" x14ac:dyDescent="0.4">
      <c r="A11" t="s">
        <v>13</v>
      </c>
      <c r="B11" t="s">
        <v>21</v>
      </c>
      <c r="C11">
        <v>3</v>
      </c>
      <c r="D11" t="s">
        <v>24</v>
      </c>
      <c r="E11">
        <v>3</v>
      </c>
    </row>
    <row r="12" spans="1:6" x14ac:dyDescent="0.4">
      <c r="A12" t="s">
        <v>25</v>
      </c>
      <c r="B12" t="s">
        <v>21</v>
      </c>
      <c r="C12">
        <v>1</v>
      </c>
      <c r="D12" t="s">
        <v>21</v>
      </c>
      <c r="E12">
        <v>0</v>
      </c>
    </row>
    <row r="13" spans="1:6" x14ac:dyDescent="0.4">
      <c r="A13" t="s">
        <v>26</v>
      </c>
      <c r="B13" t="s">
        <v>21</v>
      </c>
      <c r="C13">
        <v>4</v>
      </c>
      <c r="D13" t="s">
        <v>27</v>
      </c>
      <c r="E13">
        <v>4</v>
      </c>
    </row>
    <row r="14" spans="1:6" x14ac:dyDescent="0.4">
      <c r="A14" t="s">
        <v>14</v>
      </c>
      <c r="B14" t="s">
        <v>15</v>
      </c>
      <c r="C14">
        <v>5</v>
      </c>
      <c r="D14" t="s">
        <v>28</v>
      </c>
      <c r="E14">
        <v>5</v>
      </c>
    </row>
    <row r="15" spans="1:6" x14ac:dyDescent="0.4">
      <c r="A15" t="s">
        <v>17</v>
      </c>
      <c r="B15" t="s">
        <v>21</v>
      </c>
      <c r="C15">
        <v>1</v>
      </c>
      <c r="E15">
        <v>0</v>
      </c>
    </row>
    <row r="16" spans="1:6" x14ac:dyDescent="0.4">
      <c r="A16" t="s">
        <v>43</v>
      </c>
      <c r="C16">
        <f>SUM(C2:C15)</f>
        <v>33</v>
      </c>
      <c r="E16">
        <f>SUM(E2:E15)</f>
        <v>31</v>
      </c>
      <c r="F16">
        <f>E16/C16</f>
        <v>0.93939393939393945</v>
      </c>
    </row>
    <row r="17" spans="1:5" x14ac:dyDescent="0.4">
      <c r="A17" t="s">
        <v>44</v>
      </c>
      <c r="C17" s="2">
        <v>431</v>
      </c>
      <c r="E17">
        <v>297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A06C-C57C-44AE-A536-D3281372BB67}">
  <dimension ref="A1:F17"/>
  <sheetViews>
    <sheetView workbookViewId="0">
      <selection activeCell="C8" sqref="C8"/>
    </sheetView>
  </sheetViews>
  <sheetFormatPr defaultRowHeight="13.9" x14ac:dyDescent="0.4"/>
  <cols>
    <col min="1" max="1" width="31.59765625" customWidth="1"/>
    <col min="2" max="2" width="19.06640625" customWidth="1"/>
    <col min="3" max="3" width="19.6640625" customWidth="1"/>
    <col min="4" max="4" width="19.1328125" customWidth="1"/>
    <col min="5" max="5" width="8.6640625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ht="27.75" x14ac:dyDescent="0.4">
      <c r="A2" s="1" t="s">
        <v>0</v>
      </c>
      <c r="B2" s="1" t="s">
        <v>21</v>
      </c>
      <c r="C2" s="1">
        <v>1</v>
      </c>
      <c r="D2" s="1" t="s">
        <v>18</v>
      </c>
      <c r="E2" s="1">
        <v>1</v>
      </c>
    </row>
    <row r="3" spans="1:6" ht="27.75" x14ac:dyDescent="0.4">
      <c r="A3" s="3" t="s">
        <v>1</v>
      </c>
      <c r="B3" s="1" t="s">
        <v>3</v>
      </c>
      <c r="C3" s="1">
        <v>1</v>
      </c>
      <c r="D3" s="1" t="s">
        <v>19</v>
      </c>
      <c r="E3" s="1">
        <v>1</v>
      </c>
    </row>
    <row r="4" spans="1:6" ht="27.75" x14ac:dyDescent="0.4">
      <c r="A4" s="3"/>
      <c r="B4" s="1" t="s">
        <v>4</v>
      </c>
      <c r="C4" s="1">
        <v>1</v>
      </c>
      <c r="D4" s="1" t="s">
        <v>20</v>
      </c>
      <c r="E4" s="1">
        <v>1</v>
      </c>
    </row>
    <row r="5" spans="1:6" x14ac:dyDescent="0.4">
      <c r="A5" s="3" t="s">
        <v>5</v>
      </c>
      <c r="B5" s="1" t="s">
        <v>29</v>
      </c>
      <c r="C5" s="1">
        <v>3</v>
      </c>
      <c r="D5" s="1" t="s">
        <v>33</v>
      </c>
      <c r="E5" s="1">
        <v>3</v>
      </c>
    </row>
    <row r="6" spans="1:6" x14ac:dyDescent="0.4">
      <c r="A6" s="3"/>
      <c r="B6" s="1" t="s">
        <v>8</v>
      </c>
      <c r="C6" s="1">
        <v>4</v>
      </c>
      <c r="D6" s="1" t="s">
        <v>8</v>
      </c>
      <c r="E6" s="1">
        <v>4</v>
      </c>
    </row>
    <row r="7" spans="1:6" x14ac:dyDescent="0.4">
      <c r="A7" s="3"/>
      <c r="B7" s="1" t="s">
        <v>9</v>
      </c>
      <c r="C7" s="1">
        <v>4</v>
      </c>
      <c r="D7" s="1" t="s">
        <v>22</v>
      </c>
      <c r="E7" s="1">
        <v>4</v>
      </c>
    </row>
    <row r="8" spans="1:6" x14ac:dyDescent="0.4">
      <c r="A8" s="3"/>
      <c r="B8" s="1" t="s">
        <v>30</v>
      </c>
      <c r="C8" s="1">
        <v>14</v>
      </c>
      <c r="D8" s="1" t="s">
        <v>23</v>
      </c>
      <c r="E8" s="1">
        <v>14</v>
      </c>
    </row>
    <row r="9" spans="1:6" ht="27.75" x14ac:dyDescent="0.4">
      <c r="A9" s="3" t="s">
        <v>10</v>
      </c>
      <c r="B9" s="1" t="s">
        <v>11</v>
      </c>
      <c r="C9" s="1">
        <v>4</v>
      </c>
      <c r="D9" s="1" t="s">
        <v>11</v>
      </c>
      <c r="E9" s="1">
        <v>4</v>
      </c>
    </row>
    <row r="10" spans="1:6" x14ac:dyDescent="0.4">
      <c r="A10" s="3"/>
      <c r="B10" s="1" t="s">
        <v>12</v>
      </c>
      <c r="C10" s="1">
        <v>2</v>
      </c>
      <c r="D10" s="1" t="s">
        <v>12</v>
      </c>
      <c r="E10" s="1">
        <v>2</v>
      </c>
    </row>
    <row r="11" spans="1:6" ht="27.75" x14ac:dyDescent="0.4">
      <c r="A11" s="1" t="s">
        <v>31</v>
      </c>
      <c r="B11" s="1" t="s">
        <v>21</v>
      </c>
      <c r="C11" s="1">
        <v>0</v>
      </c>
      <c r="D11" s="1" t="s">
        <v>24</v>
      </c>
      <c r="E11" s="1">
        <v>0</v>
      </c>
    </row>
    <row r="12" spans="1:6" x14ac:dyDescent="0.4">
      <c r="A12" s="1" t="s">
        <v>25</v>
      </c>
      <c r="B12" s="1" t="s">
        <v>21</v>
      </c>
      <c r="C12" s="1">
        <v>1</v>
      </c>
      <c r="D12" s="1" t="s">
        <v>21</v>
      </c>
      <c r="E12" s="1">
        <v>0</v>
      </c>
    </row>
    <row r="13" spans="1:6" ht="27.75" x14ac:dyDescent="0.4">
      <c r="A13" s="1" t="s">
        <v>26</v>
      </c>
      <c r="B13" s="1" t="s">
        <v>21</v>
      </c>
      <c r="C13" s="1">
        <v>2</v>
      </c>
      <c r="D13" s="1" t="s">
        <v>27</v>
      </c>
      <c r="E13" s="1">
        <v>2</v>
      </c>
    </row>
    <row r="14" spans="1:6" ht="27.75" x14ac:dyDescent="0.4">
      <c r="A14" s="1" t="s">
        <v>32</v>
      </c>
      <c r="B14" s="1" t="s">
        <v>15</v>
      </c>
      <c r="C14" s="1">
        <v>6</v>
      </c>
      <c r="D14" s="1" t="s">
        <v>28</v>
      </c>
      <c r="E14" s="1">
        <v>6</v>
      </c>
    </row>
    <row r="15" spans="1:6" x14ac:dyDescent="0.4">
      <c r="A15" s="1" t="s">
        <v>17</v>
      </c>
      <c r="B15" s="1" t="s">
        <v>21</v>
      </c>
      <c r="C15" s="1">
        <v>1</v>
      </c>
      <c r="D15" s="1"/>
      <c r="E15" s="1">
        <v>0</v>
      </c>
    </row>
    <row r="16" spans="1:6" x14ac:dyDescent="0.4">
      <c r="A16" t="s">
        <v>43</v>
      </c>
      <c r="B16" s="1"/>
      <c r="C16" s="1">
        <f>SUM(C2:C15)</f>
        <v>44</v>
      </c>
      <c r="D16" s="1"/>
      <c r="E16" s="1">
        <f>SUM(E2:E15)</f>
        <v>42</v>
      </c>
      <c r="F16">
        <f>E16/C16</f>
        <v>0.95454545454545459</v>
      </c>
    </row>
    <row r="17" spans="1:5" x14ac:dyDescent="0.4">
      <c r="A17" t="s">
        <v>44</v>
      </c>
      <c r="C17" s="1">
        <v>666</v>
      </c>
      <c r="E17" s="1">
        <v>542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37AE-E4D5-4F48-8C87-540E0DFA1B7C}">
  <dimension ref="A1:F17"/>
  <sheetViews>
    <sheetView workbookViewId="0">
      <selection sqref="A1:F1"/>
    </sheetView>
  </sheetViews>
  <sheetFormatPr defaultRowHeight="13.9" x14ac:dyDescent="0.4"/>
  <cols>
    <col min="1" max="1" width="27" customWidth="1"/>
    <col min="2" max="2" width="27.6640625" customWidth="1"/>
    <col min="3" max="3" width="16.6640625" customWidth="1"/>
    <col min="4" max="4" width="30.59765625" customWidth="1"/>
    <col min="5" max="5" width="16.33203125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ht="27.75" x14ac:dyDescent="0.4">
      <c r="A2" s="1" t="s">
        <v>0</v>
      </c>
      <c r="B2" t="s">
        <v>21</v>
      </c>
      <c r="C2">
        <v>1</v>
      </c>
      <c r="D2" t="s">
        <v>18</v>
      </c>
      <c r="E2">
        <v>1</v>
      </c>
    </row>
    <row r="3" spans="1:6" x14ac:dyDescent="0.4">
      <c r="A3" s="3" t="s">
        <v>1</v>
      </c>
      <c r="B3" t="s">
        <v>3</v>
      </c>
      <c r="C3">
        <v>1</v>
      </c>
      <c r="D3" t="s">
        <v>19</v>
      </c>
      <c r="E3">
        <v>1</v>
      </c>
    </row>
    <row r="4" spans="1:6" x14ac:dyDescent="0.4">
      <c r="A4" s="3"/>
      <c r="B4" t="s">
        <v>4</v>
      </c>
      <c r="C4">
        <v>1</v>
      </c>
      <c r="D4" t="s">
        <v>20</v>
      </c>
      <c r="E4">
        <v>1</v>
      </c>
    </row>
    <row r="5" spans="1:6" x14ac:dyDescent="0.4">
      <c r="A5" s="3" t="s">
        <v>5</v>
      </c>
      <c r="B5" t="s">
        <v>29</v>
      </c>
      <c r="C5">
        <v>2</v>
      </c>
      <c r="D5" t="s">
        <v>33</v>
      </c>
      <c r="E5">
        <v>2</v>
      </c>
    </row>
    <row r="6" spans="1:6" x14ac:dyDescent="0.4">
      <c r="A6" s="3"/>
      <c r="B6" t="s">
        <v>8</v>
      </c>
      <c r="C6">
        <v>0</v>
      </c>
      <c r="D6" t="s">
        <v>8</v>
      </c>
      <c r="E6">
        <v>0</v>
      </c>
    </row>
    <row r="7" spans="1:6" x14ac:dyDescent="0.4">
      <c r="A7" s="3"/>
      <c r="B7" t="s">
        <v>9</v>
      </c>
      <c r="C7">
        <v>2</v>
      </c>
      <c r="D7" t="s">
        <v>22</v>
      </c>
      <c r="E7">
        <v>2</v>
      </c>
    </row>
    <row r="8" spans="1:6" x14ac:dyDescent="0.4">
      <c r="A8" s="3"/>
      <c r="B8" t="s">
        <v>36</v>
      </c>
      <c r="C8">
        <v>2</v>
      </c>
      <c r="D8" t="s">
        <v>23</v>
      </c>
      <c r="E8">
        <v>2</v>
      </c>
    </row>
    <row r="9" spans="1:6" x14ac:dyDescent="0.4">
      <c r="A9" s="4" t="s">
        <v>10</v>
      </c>
      <c r="B9" t="s">
        <v>11</v>
      </c>
      <c r="C9">
        <v>4</v>
      </c>
      <c r="D9" t="s">
        <v>11</v>
      </c>
      <c r="E9">
        <v>4</v>
      </c>
    </row>
    <row r="10" spans="1:6" x14ac:dyDescent="0.4">
      <c r="A10" s="4"/>
      <c r="B10" t="s">
        <v>12</v>
      </c>
      <c r="C10">
        <v>2</v>
      </c>
      <c r="D10" t="s">
        <v>12</v>
      </c>
      <c r="E10">
        <v>2</v>
      </c>
    </row>
    <row r="11" spans="1:6" x14ac:dyDescent="0.4">
      <c r="A11" t="s">
        <v>31</v>
      </c>
      <c r="B11" t="s">
        <v>21</v>
      </c>
      <c r="C11">
        <v>0</v>
      </c>
      <c r="D11" t="s">
        <v>24</v>
      </c>
      <c r="E11">
        <v>0</v>
      </c>
    </row>
    <row r="12" spans="1:6" x14ac:dyDescent="0.4">
      <c r="A12" t="s">
        <v>25</v>
      </c>
      <c r="B12" t="s">
        <v>21</v>
      </c>
      <c r="C12">
        <v>1</v>
      </c>
      <c r="D12" t="s">
        <v>21</v>
      </c>
      <c r="E12">
        <v>0</v>
      </c>
    </row>
    <row r="13" spans="1:6" x14ac:dyDescent="0.4">
      <c r="A13" t="s">
        <v>26</v>
      </c>
      <c r="B13" t="s">
        <v>21</v>
      </c>
      <c r="C13">
        <v>6</v>
      </c>
      <c r="D13" t="s">
        <v>27</v>
      </c>
      <c r="E13">
        <v>6</v>
      </c>
    </row>
    <row r="14" spans="1:6" x14ac:dyDescent="0.4">
      <c r="A14" t="s">
        <v>14</v>
      </c>
      <c r="B14" t="s">
        <v>34</v>
      </c>
      <c r="C14">
        <v>6</v>
      </c>
      <c r="D14" t="s">
        <v>28</v>
      </c>
      <c r="E14">
        <v>6</v>
      </c>
    </row>
    <row r="15" spans="1:6" x14ac:dyDescent="0.4">
      <c r="A15" t="s">
        <v>17</v>
      </c>
      <c r="B15" t="s">
        <v>21</v>
      </c>
      <c r="C15">
        <v>0</v>
      </c>
      <c r="E15">
        <v>0</v>
      </c>
    </row>
    <row r="16" spans="1:6" x14ac:dyDescent="0.4">
      <c r="A16" t="s">
        <v>43</v>
      </c>
      <c r="C16">
        <f>SUM(C2:C15)</f>
        <v>28</v>
      </c>
      <c r="E16">
        <f>SUM(E2:E15)</f>
        <v>27</v>
      </c>
      <c r="F16">
        <f>E16/C16</f>
        <v>0.9642857142857143</v>
      </c>
    </row>
    <row r="17" spans="1:5" x14ac:dyDescent="0.4">
      <c r="A17" t="s">
        <v>44</v>
      </c>
      <c r="C17">
        <v>670</v>
      </c>
      <c r="E17">
        <v>320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ACDD-9CAD-433E-97D9-BFD52C91E358}">
  <dimension ref="A1:G17"/>
  <sheetViews>
    <sheetView topLeftCell="B1" workbookViewId="0">
      <selection activeCell="B1" sqref="B1:G1"/>
    </sheetView>
  </sheetViews>
  <sheetFormatPr defaultRowHeight="13.9" x14ac:dyDescent="0.4"/>
  <cols>
    <col min="1" max="1" width="42.3984375" customWidth="1"/>
    <col min="2" max="2" width="24.796875" customWidth="1"/>
    <col min="4" max="4" width="35.33203125" customWidth="1"/>
    <col min="5" max="5" width="15.33203125" customWidth="1"/>
  </cols>
  <sheetData>
    <row r="1" spans="1:7" x14ac:dyDescent="0.4">
      <c r="A1" t="s">
        <v>2</v>
      </c>
      <c r="B1" t="s">
        <v>38</v>
      </c>
      <c r="C1" t="s">
        <v>39</v>
      </c>
      <c r="D1" t="s">
        <v>40</v>
      </c>
      <c r="E1" t="s">
        <v>41</v>
      </c>
      <c r="F1" t="s">
        <v>40</v>
      </c>
      <c r="G1" t="s">
        <v>42</v>
      </c>
    </row>
    <row r="2" spans="1:7" x14ac:dyDescent="0.4">
      <c r="A2" s="1" t="s">
        <v>0</v>
      </c>
      <c r="B2" t="s">
        <v>21</v>
      </c>
      <c r="C2">
        <v>1</v>
      </c>
      <c r="D2" t="s">
        <v>18</v>
      </c>
      <c r="E2">
        <v>1</v>
      </c>
    </row>
    <row r="3" spans="1:7" x14ac:dyDescent="0.4">
      <c r="A3" s="3" t="s">
        <v>1</v>
      </c>
      <c r="B3" t="s">
        <v>3</v>
      </c>
      <c r="C3">
        <v>2</v>
      </c>
      <c r="D3" t="s">
        <v>19</v>
      </c>
      <c r="E3">
        <v>2</v>
      </c>
    </row>
    <row r="4" spans="1:7" x14ac:dyDescent="0.4">
      <c r="A4" s="3"/>
      <c r="B4" t="s">
        <v>4</v>
      </c>
      <c r="C4">
        <v>1</v>
      </c>
      <c r="D4" t="s">
        <v>20</v>
      </c>
      <c r="E4">
        <v>1</v>
      </c>
    </row>
    <row r="5" spans="1:7" x14ac:dyDescent="0.4">
      <c r="A5" s="3" t="s">
        <v>5</v>
      </c>
      <c r="B5" t="s">
        <v>29</v>
      </c>
      <c r="C5">
        <v>2</v>
      </c>
      <c r="D5" t="s">
        <v>33</v>
      </c>
      <c r="E5">
        <v>2</v>
      </c>
    </row>
    <row r="6" spans="1:7" x14ac:dyDescent="0.4">
      <c r="A6" s="3"/>
      <c r="B6" t="s">
        <v>8</v>
      </c>
      <c r="C6">
        <v>0</v>
      </c>
      <c r="D6" t="s">
        <v>8</v>
      </c>
      <c r="E6">
        <v>0</v>
      </c>
    </row>
    <row r="7" spans="1:7" x14ac:dyDescent="0.4">
      <c r="A7" s="3"/>
      <c r="B7" t="s">
        <v>35</v>
      </c>
      <c r="C7">
        <v>2</v>
      </c>
      <c r="D7" t="s">
        <v>22</v>
      </c>
      <c r="E7">
        <v>2</v>
      </c>
    </row>
    <row r="8" spans="1:7" x14ac:dyDescent="0.4">
      <c r="A8" s="3"/>
      <c r="B8" t="s">
        <v>36</v>
      </c>
      <c r="C8">
        <v>3</v>
      </c>
      <c r="D8" t="s">
        <v>23</v>
      </c>
      <c r="E8">
        <v>3</v>
      </c>
    </row>
    <row r="9" spans="1:7" x14ac:dyDescent="0.4">
      <c r="A9" s="4" t="s">
        <v>10</v>
      </c>
      <c r="B9" t="s">
        <v>11</v>
      </c>
      <c r="C9">
        <v>2</v>
      </c>
      <c r="D9" t="s">
        <v>11</v>
      </c>
      <c r="E9">
        <v>2</v>
      </c>
    </row>
    <row r="10" spans="1:7" x14ac:dyDescent="0.4">
      <c r="A10" s="4"/>
      <c r="B10" t="s">
        <v>12</v>
      </c>
      <c r="C10">
        <v>2</v>
      </c>
      <c r="D10" t="s">
        <v>12</v>
      </c>
      <c r="E10">
        <v>2</v>
      </c>
    </row>
    <row r="11" spans="1:7" x14ac:dyDescent="0.4">
      <c r="A11" t="s">
        <v>31</v>
      </c>
      <c r="B11" t="s">
        <v>21</v>
      </c>
      <c r="C11">
        <v>0</v>
      </c>
      <c r="D11" t="s">
        <v>24</v>
      </c>
      <c r="E11">
        <v>0</v>
      </c>
    </row>
    <row r="12" spans="1:7" x14ac:dyDescent="0.4">
      <c r="A12" t="s">
        <v>25</v>
      </c>
      <c r="B12" t="s">
        <v>21</v>
      </c>
      <c r="C12">
        <v>1</v>
      </c>
      <c r="D12" t="s">
        <v>21</v>
      </c>
      <c r="E12">
        <v>0</v>
      </c>
    </row>
    <row r="13" spans="1:7" x14ac:dyDescent="0.4">
      <c r="A13" t="s">
        <v>26</v>
      </c>
      <c r="B13" t="s">
        <v>21</v>
      </c>
      <c r="C13">
        <v>6</v>
      </c>
      <c r="D13" t="s">
        <v>27</v>
      </c>
      <c r="E13">
        <v>6</v>
      </c>
    </row>
    <row r="14" spans="1:7" x14ac:dyDescent="0.4">
      <c r="A14" t="s">
        <v>14</v>
      </c>
      <c r="B14" t="s">
        <v>34</v>
      </c>
      <c r="C14">
        <v>6</v>
      </c>
      <c r="D14" t="s">
        <v>28</v>
      </c>
      <c r="E14">
        <v>6</v>
      </c>
    </row>
    <row r="15" spans="1:7" x14ac:dyDescent="0.4">
      <c r="A15" t="s">
        <v>17</v>
      </c>
      <c r="B15" t="s">
        <v>21</v>
      </c>
      <c r="C15">
        <v>0</v>
      </c>
    </row>
    <row r="16" spans="1:7" x14ac:dyDescent="0.4">
      <c r="A16" t="s">
        <v>16</v>
      </c>
      <c r="B16" t="s">
        <v>43</v>
      </c>
      <c r="C16">
        <f>SUM(C2:C15)</f>
        <v>28</v>
      </c>
      <c r="E16">
        <f>SUM(E2:E15)</f>
        <v>27</v>
      </c>
      <c r="F16">
        <f>E16/C16</f>
        <v>0.9642857142857143</v>
      </c>
    </row>
    <row r="17" spans="1:5" x14ac:dyDescent="0.4">
      <c r="A17" t="s">
        <v>37</v>
      </c>
      <c r="B17" t="s">
        <v>44</v>
      </c>
      <c r="C17">
        <v>445</v>
      </c>
      <c r="E17">
        <v>287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AAA5-BB6E-4202-A3D3-67C8A66C8549}">
  <dimension ref="A1:F17"/>
  <sheetViews>
    <sheetView workbookViewId="0">
      <selection sqref="A1:F1"/>
    </sheetView>
  </sheetViews>
  <sheetFormatPr defaultRowHeight="13.9" x14ac:dyDescent="0.4"/>
  <cols>
    <col min="1" max="1" width="37.1328125" customWidth="1"/>
    <col min="2" max="2" width="29.796875" customWidth="1"/>
    <col min="4" max="4" width="30.796875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x14ac:dyDescent="0.4">
      <c r="A2" s="1" t="s">
        <v>0</v>
      </c>
      <c r="B2" t="s">
        <v>21</v>
      </c>
      <c r="C2">
        <v>1</v>
      </c>
      <c r="D2" t="s">
        <v>18</v>
      </c>
      <c r="E2">
        <v>1</v>
      </c>
    </row>
    <row r="3" spans="1:6" x14ac:dyDescent="0.4">
      <c r="A3" s="3" t="s">
        <v>1</v>
      </c>
      <c r="B3" t="s">
        <v>3</v>
      </c>
      <c r="C3">
        <v>1</v>
      </c>
      <c r="D3" t="s">
        <v>19</v>
      </c>
      <c r="E3">
        <v>1</v>
      </c>
    </row>
    <row r="4" spans="1:6" x14ac:dyDescent="0.4">
      <c r="A4" s="3"/>
      <c r="B4" t="s">
        <v>4</v>
      </c>
      <c r="C4">
        <v>1</v>
      </c>
      <c r="D4" t="s">
        <v>20</v>
      </c>
      <c r="E4">
        <v>1</v>
      </c>
    </row>
    <row r="5" spans="1:6" x14ac:dyDescent="0.4">
      <c r="A5" s="3" t="s">
        <v>5</v>
      </c>
      <c r="B5" t="s">
        <v>29</v>
      </c>
      <c r="C5">
        <v>2</v>
      </c>
      <c r="D5" t="s">
        <v>33</v>
      </c>
      <c r="E5">
        <v>2</v>
      </c>
    </row>
    <row r="6" spans="1:6" x14ac:dyDescent="0.4">
      <c r="A6" s="3"/>
      <c r="B6" t="s">
        <v>8</v>
      </c>
      <c r="C6">
        <v>0</v>
      </c>
      <c r="D6" t="s">
        <v>8</v>
      </c>
      <c r="E6">
        <v>0</v>
      </c>
    </row>
    <row r="7" spans="1:6" x14ac:dyDescent="0.4">
      <c r="A7" s="3"/>
      <c r="B7" t="s">
        <v>35</v>
      </c>
      <c r="C7">
        <v>2</v>
      </c>
      <c r="D7" t="s">
        <v>22</v>
      </c>
      <c r="E7">
        <v>2</v>
      </c>
    </row>
    <row r="8" spans="1:6" x14ac:dyDescent="0.4">
      <c r="A8" s="3"/>
      <c r="B8" t="s">
        <v>36</v>
      </c>
      <c r="C8">
        <v>2</v>
      </c>
      <c r="D8" t="s">
        <v>23</v>
      </c>
      <c r="E8">
        <v>2</v>
      </c>
    </row>
    <row r="9" spans="1:6" x14ac:dyDescent="0.4">
      <c r="A9" s="4" t="s">
        <v>10</v>
      </c>
      <c r="B9" t="s">
        <v>11</v>
      </c>
      <c r="C9">
        <v>4</v>
      </c>
      <c r="D9" t="s">
        <v>11</v>
      </c>
      <c r="E9">
        <v>4</v>
      </c>
    </row>
    <row r="10" spans="1:6" x14ac:dyDescent="0.4">
      <c r="A10" s="4"/>
      <c r="B10" t="s">
        <v>12</v>
      </c>
      <c r="C10">
        <v>3</v>
      </c>
      <c r="D10" t="s">
        <v>12</v>
      </c>
      <c r="E10">
        <v>3</v>
      </c>
    </row>
    <row r="11" spans="1:6" x14ac:dyDescent="0.4">
      <c r="A11" t="s">
        <v>31</v>
      </c>
      <c r="B11" t="s">
        <v>21</v>
      </c>
      <c r="C11">
        <v>0</v>
      </c>
      <c r="D11" t="s">
        <v>24</v>
      </c>
      <c r="E11">
        <v>0</v>
      </c>
    </row>
    <row r="12" spans="1:6" x14ac:dyDescent="0.4">
      <c r="A12" t="s">
        <v>25</v>
      </c>
      <c r="B12" t="s">
        <v>21</v>
      </c>
      <c r="C12">
        <v>1</v>
      </c>
      <c r="D12" t="s">
        <v>21</v>
      </c>
      <c r="E12">
        <v>0</v>
      </c>
    </row>
    <row r="13" spans="1:6" x14ac:dyDescent="0.4">
      <c r="A13" t="s">
        <v>26</v>
      </c>
      <c r="B13" t="s">
        <v>21</v>
      </c>
      <c r="C13">
        <v>6</v>
      </c>
      <c r="D13" t="s">
        <v>27</v>
      </c>
      <c r="E13">
        <v>6</v>
      </c>
    </row>
    <row r="14" spans="1:6" x14ac:dyDescent="0.4">
      <c r="A14" t="s">
        <v>14</v>
      </c>
      <c r="B14" t="s">
        <v>34</v>
      </c>
      <c r="C14">
        <v>6</v>
      </c>
      <c r="D14" t="s">
        <v>28</v>
      </c>
      <c r="E14">
        <v>6</v>
      </c>
    </row>
    <row r="15" spans="1:6" x14ac:dyDescent="0.4">
      <c r="A15" t="s">
        <v>17</v>
      </c>
      <c r="B15" t="s">
        <v>21</v>
      </c>
    </row>
    <row r="16" spans="1:6" x14ac:dyDescent="0.4">
      <c r="A16" t="s">
        <v>43</v>
      </c>
      <c r="C16">
        <f>SUM(C2:C15)</f>
        <v>29</v>
      </c>
      <c r="E16">
        <f>SUM(E2:E15)</f>
        <v>28</v>
      </c>
      <c r="F16">
        <f>E16/C16</f>
        <v>0.96551724137931039</v>
      </c>
    </row>
    <row r="17" spans="1:5" x14ac:dyDescent="0.4">
      <c r="A17" t="s">
        <v>44</v>
      </c>
      <c r="C17">
        <v>686</v>
      </c>
      <c r="E17">
        <v>330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A385-2BA2-450A-A68A-71704755B0CF}">
  <dimension ref="A1:F17"/>
  <sheetViews>
    <sheetView workbookViewId="0">
      <selection sqref="A1:F1"/>
    </sheetView>
  </sheetViews>
  <sheetFormatPr defaultRowHeight="13.9" x14ac:dyDescent="0.4"/>
  <cols>
    <col min="1" max="1" width="40.6640625" customWidth="1"/>
    <col min="2" max="2" width="28.1328125" customWidth="1"/>
    <col min="4" max="4" width="31.796875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x14ac:dyDescent="0.4">
      <c r="A2" s="1" t="s">
        <v>0</v>
      </c>
      <c r="B2" t="s">
        <v>21</v>
      </c>
      <c r="C2">
        <v>1</v>
      </c>
      <c r="D2" t="s">
        <v>18</v>
      </c>
      <c r="E2">
        <v>1</v>
      </c>
    </row>
    <row r="3" spans="1:6" x14ac:dyDescent="0.4">
      <c r="A3" s="3" t="s">
        <v>1</v>
      </c>
      <c r="B3" t="s">
        <v>3</v>
      </c>
      <c r="C3">
        <v>2</v>
      </c>
      <c r="D3" t="s">
        <v>19</v>
      </c>
      <c r="E3">
        <v>2</v>
      </c>
    </row>
    <row r="4" spans="1:6" x14ac:dyDescent="0.4">
      <c r="A4" s="3"/>
      <c r="B4" t="s">
        <v>4</v>
      </c>
      <c r="C4">
        <v>1</v>
      </c>
      <c r="D4" t="s">
        <v>20</v>
      </c>
      <c r="E4">
        <v>1</v>
      </c>
    </row>
    <row r="5" spans="1:6" x14ac:dyDescent="0.4">
      <c r="A5" s="3" t="s">
        <v>5</v>
      </c>
      <c r="B5" t="s">
        <v>29</v>
      </c>
      <c r="C5">
        <v>2</v>
      </c>
      <c r="D5" t="s">
        <v>33</v>
      </c>
      <c r="E5">
        <v>2</v>
      </c>
    </row>
    <row r="6" spans="1:6" x14ac:dyDescent="0.4">
      <c r="A6" s="3"/>
      <c r="B6" t="s">
        <v>8</v>
      </c>
      <c r="C6">
        <v>0</v>
      </c>
      <c r="D6" t="s">
        <v>8</v>
      </c>
      <c r="E6">
        <v>0</v>
      </c>
    </row>
    <row r="7" spans="1:6" x14ac:dyDescent="0.4">
      <c r="A7" s="3"/>
      <c r="B7" t="s">
        <v>35</v>
      </c>
      <c r="C7">
        <v>2</v>
      </c>
      <c r="D7" t="s">
        <v>22</v>
      </c>
      <c r="E7">
        <v>2</v>
      </c>
    </row>
    <row r="8" spans="1:6" x14ac:dyDescent="0.4">
      <c r="A8" s="3"/>
      <c r="B8" t="s">
        <v>36</v>
      </c>
      <c r="C8">
        <v>3</v>
      </c>
      <c r="D8" t="s">
        <v>23</v>
      </c>
      <c r="E8">
        <v>3</v>
      </c>
    </row>
    <row r="9" spans="1:6" x14ac:dyDescent="0.4">
      <c r="A9" s="4" t="s">
        <v>10</v>
      </c>
      <c r="B9" t="s">
        <v>11</v>
      </c>
      <c r="C9">
        <v>2</v>
      </c>
      <c r="D9" t="s">
        <v>11</v>
      </c>
      <c r="E9">
        <v>2</v>
      </c>
    </row>
    <row r="10" spans="1:6" x14ac:dyDescent="0.4">
      <c r="A10" s="4"/>
      <c r="B10" t="s">
        <v>12</v>
      </c>
      <c r="C10">
        <v>2</v>
      </c>
      <c r="D10" t="s">
        <v>12</v>
      </c>
      <c r="E10">
        <v>2</v>
      </c>
    </row>
    <row r="11" spans="1:6" x14ac:dyDescent="0.4">
      <c r="A11" t="s">
        <v>31</v>
      </c>
      <c r="B11" t="s">
        <v>21</v>
      </c>
      <c r="C11">
        <v>0</v>
      </c>
      <c r="D11" t="s">
        <v>24</v>
      </c>
      <c r="E11">
        <v>0</v>
      </c>
    </row>
    <row r="12" spans="1:6" x14ac:dyDescent="0.4">
      <c r="A12" t="s">
        <v>25</v>
      </c>
      <c r="B12" t="s">
        <v>21</v>
      </c>
      <c r="C12">
        <v>1</v>
      </c>
      <c r="D12" t="s">
        <v>21</v>
      </c>
      <c r="E12">
        <v>0</v>
      </c>
    </row>
    <row r="13" spans="1:6" x14ac:dyDescent="0.4">
      <c r="A13" t="s">
        <v>26</v>
      </c>
      <c r="B13" t="s">
        <v>21</v>
      </c>
      <c r="C13">
        <v>6</v>
      </c>
      <c r="D13" t="s">
        <v>27</v>
      </c>
      <c r="E13">
        <v>6</v>
      </c>
    </row>
    <row r="14" spans="1:6" x14ac:dyDescent="0.4">
      <c r="A14" t="s">
        <v>32</v>
      </c>
      <c r="B14" t="s">
        <v>34</v>
      </c>
      <c r="C14">
        <v>6</v>
      </c>
      <c r="D14" t="s">
        <v>28</v>
      </c>
      <c r="E14">
        <v>6</v>
      </c>
    </row>
    <row r="15" spans="1:6" x14ac:dyDescent="0.4">
      <c r="A15" t="s">
        <v>17</v>
      </c>
      <c r="B15" t="s">
        <v>21</v>
      </c>
      <c r="C15">
        <v>0</v>
      </c>
      <c r="E15">
        <v>0</v>
      </c>
    </row>
    <row r="16" spans="1:6" x14ac:dyDescent="0.4">
      <c r="A16" t="s">
        <v>43</v>
      </c>
      <c r="B16">
        <f t="shared" ref="B16:D16" si="0">SUM(B2:B15)</f>
        <v>0</v>
      </c>
      <c r="C16">
        <f t="shared" si="0"/>
        <v>28</v>
      </c>
      <c r="D16">
        <f t="shared" si="0"/>
        <v>0</v>
      </c>
      <c r="E16">
        <f>SUM(E2:E15)</f>
        <v>27</v>
      </c>
      <c r="F16">
        <f>E16/C16</f>
        <v>0.9642857142857143</v>
      </c>
    </row>
    <row r="17" spans="1:5" x14ac:dyDescent="0.4">
      <c r="A17" t="s">
        <v>44</v>
      </c>
      <c r="B17">
        <v>441</v>
      </c>
      <c r="E17">
        <v>276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F410-7847-4FB8-996B-A308B0891471}">
  <dimension ref="A1:F17"/>
  <sheetViews>
    <sheetView workbookViewId="0">
      <selection activeCell="D8" sqref="D8"/>
    </sheetView>
  </sheetViews>
  <sheetFormatPr defaultRowHeight="13.9" x14ac:dyDescent="0.4"/>
  <cols>
    <col min="1" max="1" width="35" customWidth="1"/>
    <col min="2" max="2" width="26.33203125" customWidth="1"/>
    <col min="4" max="4" width="36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x14ac:dyDescent="0.4">
      <c r="A2" s="1" t="s">
        <v>0</v>
      </c>
      <c r="B2" t="s">
        <v>21</v>
      </c>
      <c r="C2">
        <v>1</v>
      </c>
      <c r="D2" t="s">
        <v>18</v>
      </c>
      <c r="E2">
        <v>1</v>
      </c>
    </row>
    <row r="3" spans="1:6" x14ac:dyDescent="0.4">
      <c r="A3" s="3" t="s">
        <v>1</v>
      </c>
      <c r="B3" t="s">
        <v>3</v>
      </c>
      <c r="C3">
        <v>1</v>
      </c>
      <c r="D3" t="s">
        <v>19</v>
      </c>
      <c r="E3">
        <v>1</v>
      </c>
    </row>
    <row r="4" spans="1:6" x14ac:dyDescent="0.4">
      <c r="A4" s="3"/>
      <c r="B4" t="s">
        <v>4</v>
      </c>
      <c r="C4">
        <v>1</v>
      </c>
      <c r="D4" t="s">
        <v>20</v>
      </c>
      <c r="E4">
        <v>1</v>
      </c>
    </row>
    <row r="5" spans="1:6" x14ac:dyDescent="0.4">
      <c r="A5" s="3" t="s">
        <v>5</v>
      </c>
      <c r="B5" t="s">
        <v>29</v>
      </c>
      <c r="C5">
        <v>2</v>
      </c>
      <c r="D5" t="s">
        <v>33</v>
      </c>
      <c r="E5">
        <v>2</v>
      </c>
    </row>
    <row r="6" spans="1:6" x14ac:dyDescent="0.4">
      <c r="A6" s="3"/>
      <c r="B6" t="s">
        <v>8</v>
      </c>
      <c r="C6">
        <v>0</v>
      </c>
      <c r="D6" t="s">
        <v>8</v>
      </c>
      <c r="E6">
        <v>0</v>
      </c>
    </row>
    <row r="7" spans="1:6" x14ac:dyDescent="0.4">
      <c r="A7" s="3"/>
      <c r="B7" t="s">
        <v>35</v>
      </c>
      <c r="C7">
        <v>2</v>
      </c>
      <c r="D7" t="s">
        <v>22</v>
      </c>
      <c r="E7">
        <v>2</v>
      </c>
    </row>
    <row r="8" spans="1:6" x14ac:dyDescent="0.4">
      <c r="A8" s="3"/>
      <c r="B8" t="s">
        <v>36</v>
      </c>
      <c r="C8">
        <v>2</v>
      </c>
      <c r="D8" t="s">
        <v>23</v>
      </c>
      <c r="E8">
        <v>2</v>
      </c>
    </row>
    <row r="9" spans="1:6" x14ac:dyDescent="0.4">
      <c r="A9" s="4" t="s">
        <v>10</v>
      </c>
      <c r="B9" t="s">
        <v>11</v>
      </c>
      <c r="C9">
        <v>3</v>
      </c>
      <c r="D9" t="s">
        <v>11</v>
      </c>
      <c r="E9">
        <v>3</v>
      </c>
    </row>
    <row r="10" spans="1:6" x14ac:dyDescent="0.4">
      <c r="A10" s="4"/>
      <c r="B10" t="s">
        <v>12</v>
      </c>
      <c r="C10">
        <v>5</v>
      </c>
      <c r="D10" t="s">
        <v>12</v>
      </c>
      <c r="E10">
        <v>5</v>
      </c>
    </row>
    <row r="11" spans="1:6" x14ac:dyDescent="0.4">
      <c r="A11" t="s">
        <v>31</v>
      </c>
      <c r="B11" t="s">
        <v>21</v>
      </c>
      <c r="C11">
        <v>0</v>
      </c>
      <c r="D11" t="s">
        <v>24</v>
      </c>
      <c r="E11">
        <v>0</v>
      </c>
    </row>
    <row r="12" spans="1:6" x14ac:dyDescent="0.4">
      <c r="A12" t="s">
        <v>25</v>
      </c>
      <c r="B12" t="s">
        <v>21</v>
      </c>
      <c r="C12">
        <v>1</v>
      </c>
      <c r="D12" t="s">
        <v>21</v>
      </c>
      <c r="E12">
        <v>0</v>
      </c>
    </row>
    <row r="13" spans="1:6" x14ac:dyDescent="0.4">
      <c r="A13" t="s">
        <v>26</v>
      </c>
      <c r="B13" t="s">
        <v>21</v>
      </c>
      <c r="C13">
        <v>6</v>
      </c>
      <c r="D13" t="s">
        <v>27</v>
      </c>
      <c r="E13">
        <v>6</v>
      </c>
    </row>
    <row r="14" spans="1:6" x14ac:dyDescent="0.4">
      <c r="A14" t="s">
        <v>32</v>
      </c>
      <c r="B14" t="s">
        <v>34</v>
      </c>
      <c r="C14">
        <v>6</v>
      </c>
      <c r="D14" t="s">
        <v>28</v>
      </c>
      <c r="E14">
        <v>6</v>
      </c>
    </row>
    <row r="15" spans="1:6" x14ac:dyDescent="0.4">
      <c r="A15" t="s">
        <v>17</v>
      </c>
      <c r="B15" t="s">
        <v>21</v>
      </c>
      <c r="C15">
        <v>0</v>
      </c>
      <c r="E15">
        <v>0</v>
      </c>
    </row>
    <row r="16" spans="1:6" x14ac:dyDescent="0.4">
      <c r="A16" t="s">
        <v>43</v>
      </c>
      <c r="B16">
        <f t="shared" ref="B16:D16" si="0">SUM(B2:B15)</f>
        <v>0</v>
      </c>
      <c r="C16">
        <f t="shared" si="0"/>
        <v>30</v>
      </c>
      <c r="D16">
        <f t="shared" si="0"/>
        <v>0</v>
      </c>
      <c r="E16">
        <f>SUM(E2:E15)</f>
        <v>29</v>
      </c>
      <c r="F16">
        <f>E16/C16</f>
        <v>0.96666666666666667</v>
      </c>
    </row>
    <row r="17" spans="1:5" x14ac:dyDescent="0.4">
      <c r="A17" t="s">
        <v>44</v>
      </c>
      <c r="C17">
        <v>814</v>
      </c>
      <c r="E17">
        <v>312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C3CB-FDF3-4048-B1A4-9A86C15AC755}">
  <dimension ref="A1:F17"/>
  <sheetViews>
    <sheetView tabSelected="1" workbookViewId="0">
      <selection activeCell="G25" sqref="G25"/>
    </sheetView>
  </sheetViews>
  <sheetFormatPr defaultRowHeight="13.9" x14ac:dyDescent="0.4"/>
  <cols>
    <col min="1" max="1" width="24.46484375" customWidth="1"/>
    <col min="2" max="2" width="20.73046875" customWidth="1"/>
    <col min="3" max="3" width="14.9296875" customWidth="1"/>
    <col min="4" max="4" width="28.3984375" customWidth="1"/>
    <col min="5" max="5" width="15.796875" customWidth="1"/>
  </cols>
  <sheetData>
    <row r="1" spans="1:6" x14ac:dyDescent="0.4">
      <c r="A1" t="s">
        <v>38</v>
      </c>
      <c r="B1" t="s">
        <v>39</v>
      </c>
      <c r="C1" t="s">
        <v>40</v>
      </c>
      <c r="D1" t="s">
        <v>41</v>
      </c>
      <c r="E1" t="s">
        <v>40</v>
      </c>
      <c r="F1" t="s">
        <v>42</v>
      </c>
    </row>
    <row r="2" spans="1:6" ht="27.75" x14ac:dyDescent="0.4">
      <c r="A2" s="1" t="s">
        <v>0</v>
      </c>
      <c r="B2" s="1" t="s">
        <v>21</v>
      </c>
      <c r="C2" s="1">
        <v>1</v>
      </c>
      <c r="D2" s="1" t="s">
        <v>18</v>
      </c>
      <c r="E2" s="1">
        <v>1</v>
      </c>
    </row>
    <row r="3" spans="1:6" x14ac:dyDescent="0.4">
      <c r="A3" s="3" t="s">
        <v>1</v>
      </c>
      <c r="B3" s="1" t="s">
        <v>3</v>
      </c>
      <c r="C3" s="1">
        <v>1</v>
      </c>
      <c r="D3" s="1" t="s">
        <v>19</v>
      </c>
      <c r="E3" s="1">
        <v>1</v>
      </c>
    </row>
    <row r="4" spans="1:6" x14ac:dyDescent="0.4">
      <c r="A4" s="3"/>
      <c r="B4" s="1" t="s">
        <v>4</v>
      </c>
      <c r="C4" s="1">
        <v>211</v>
      </c>
      <c r="D4" s="1" t="s">
        <v>20</v>
      </c>
      <c r="E4" s="1">
        <v>211</v>
      </c>
    </row>
    <row r="5" spans="1:6" x14ac:dyDescent="0.4">
      <c r="A5" s="3" t="s">
        <v>5</v>
      </c>
      <c r="B5" s="1" t="s">
        <v>29</v>
      </c>
      <c r="C5" s="1">
        <v>108</v>
      </c>
      <c r="D5" s="1" t="s">
        <v>33</v>
      </c>
      <c r="E5" s="1">
        <v>108</v>
      </c>
    </row>
    <row r="6" spans="1:6" x14ac:dyDescent="0.4">
      <c r="A6" s="3"/>
      <c r="B6" s="1" t="s">
        <v>8</v>
      </c>
      <c r="C6" s="1">
        <v>109</v>
      </c>
      <c r="D6" s="1" t="s">
        <v>8</v>
      </c>
      <c r="E6" s="1">
        <v>109</v>
      </c>
    </row>
    <row r="7" spans="1:6" x14ac:dyDescent="0.4">
      <c r="A7" s="3"/>
      <c r="B7" s="1" t="s">
        <v>35</v>
      </c>
      <c r="C7" s="1">
        <v>108</v>
      </c>
      <c r="D7" s="1" t="s">
        <v>22</v>
      </c>
      <c r="E7" s="1">
        <v>108</v>
      </c>
    </row>
    <row r="8" spans="1:6" x14ac:dyDescent="0.4">
      <c r="A8" s="3"/>
      <c r="B8" s="1" t="s">
        <v>30</v>
      </c>
      <c r="C8" s="1">
        <v>331</v>
      </c>
      <c r="D8" s="1" t="s">
        <v>23</v>
      </c>
      <c r="E8" s="1">
        <v>331</v>
      </c>
    </row>
    <row r="9" spans="1:6" ht="27.75" x14ac:dyDescent="0.4">
      <c r="A9" s="3" t="s">
        <v>10</v>
      </c>
      <c r="B9" s="1" t="s">
        <v>11</v>
      </c>
      <c r="C9" s="1">
        <v>4</v>
      </c>
      <c r="D9" s="1" t="s">
        <v>11</v>
      </c>
      <c r="E9" s="1">
        <v>1</v>
      </c>
    </row>
    <row r="10" spans="1:6" x14ac:dyDescent="0.4">
      <c r="A10" s="3"/>
      <c r="B10" s="1" t="s">
        <v>12</v>
      </c>
      <c r="C10" s="1">
        <v>2</v>
      </c>
      <c r="D10" s="1" t="s">
        <v>12</v>
      </c>
      <c r="E10" s="1">
        <v>1</v>
      </c>
    </row>
    <row r="11" spans="1:6" x14ac:dyDescent="0.4">
      <c r="A11" s="1" t="s">
        <v>31</v>
      </c>
      <c r="B11" s="1" t="s">
        <v>21</v>
      </c>
      <c r="C11" s="1">
        <v>0</v>
      </c>
      <c r="D11" s="1" t="s">
        <v>24</v>
      </c>
      <c r="E11" s="1">
        <v>0</v>
      </c>
    </row>
    <row r="12" spans="1:6" x14ac:dyDescent="0.4">
      <c r="A12" s="1" t="s">
        <v>25</v>
      </c>
      <c r="B12" s="1" t="s">
        <v>21</v>
      </c>
      <c r="C12" s="1">
        <v>1</v>
      </c>
      <c r="D12" s="1" t="s">
        <v>21</v>
      </c>
      <c r="E12" s="1">
        <v>0</v>
      </c>
    </row>
    <row r="13" spans="1:6" ht="27.75" x14ac:dyDescent="0.4">
      <c r="A13" s="1" t="s">
        <v>26</v>
      </c>
      <c r="B13" s="1" t="s">
        <v>21</v>
      </c>
      <c r="C13" s="1">
        <v>212</v>
      </c>
      <c r="D13" s="1" t="s">
        <v>27</v>
      </c>
      <c r="E13" s="1">
        <v>212</v>
      </c>
    </row>
    <row r="14" spans="1:6" ht="27.75" x14ac:dyDescent="0.4">
      <c r="A14" s="1" t="s">
        <v>32</v>
      </c>
      <c r="B14" s="1" t="s">
        <v>34</v>
      </c>
      <c r="C14" s="1">
        <v>115</v>
      </c>
      <c r="D14" s="1" t="s">
        <v>28</v>
      </c>
      <c r="E14" s="1">
        <v>115</v>
      </c>
    </row>
    <row r="15" spans="1:6" x14ac:dyDescent="0.4">
      <c r="A15" s="1" t="s">
        <v>17</v>
      </c>
      <c r="B15" s="1" t="s">
        <v>21</v>
      </c>
      <c r="C15" s="1">
        <v>1</v>
      </c>
      <c r="D15" s="1"/>
      <c r="E15" s="1">
        <v>0</v>
      </c>
    </row>
    <row r="16" spans="1:6" x14ac:dyDescent="0.4">
      <c r="A16" t="s">
        <v>43</v>
      </c>
      <c r="B16" s="1"/>
      <c r="C16" s="1">
        <f>SUM(C2:C15)</f>
        <v>1204</v>
      </c>
      <c r="D16" s="1"/>
      <c r="E16" s="1">
        <f>SUM(E2:E15)</f>
        <v>1198</v>
      </c>
      <c r="F16">
        <f>E16/C16</f>
        <v>0.99501661129568109</v>
      </c>
    </row>
    <row r="17" spans="1:5" x14ac:dyDescent="0.4">
      <c r="A17" t="s">
        <v>44</v>
      </c>
      <c r="C17" s="1">
        <v>14742</v>
      </c>
      <c r="E17" s="1">
        <v>10442</v>
      </c>
    </row>
  </sheetData>
  <mergeCells count="3">
    <mergeCell ref="A3:A4"/>
    <mergeCell ref="A5:A8"/>
    <mergeCell ref="A9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autosar_swc</vt:lpstr>
      <vt:lpstr>autosar_swc_expfcns</vt:lpstr>
      <vt:lpstr>autosar_swc_throttle_sensor</vt:lpstr>
      <vt:lpstr>autosar_swc_monitor</vt:lpstr>
      <vt:lpstr>autosar_swc_pedal_sensor</vt:lpstr>
      <vt:lpstr>autosar_swc_controller</vt:lpstr>
      <vt:lpstr>autosar_swc_actuator</vt:lpstr>
      <vt:lpstr>large_scale_autosar_swc_expfcns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yphwumbuk@gmail.com</cp:lastModifiedBy>
  <dcterms:created xsi:type="dcterms:W3CDTF">2015-06-05T18:19:34Z</dcterms:created>
  <dcterms:modified xsi:type="dcterms:W3CDTF">2026-03-21T09:18:16Z</dcterms:modified>
</cp:coreProperties>
</file>